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ehrdad\Documents\"/>
    </mc:Choice>
  </mc:AlternateContent>
  <xr:revisionPtr revIDLastSave="0" documentId="13_ncr:1_{6CBF3147-261F-4592-87F7-0AC33038ED3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قیمت تمام شده" sheetId="2" r:id="rId2"/>
    <sheet name="لیست حق‌الزحمه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6" i="3"/>
  <c r="D5" i="3"/>
  <c r="D4" i="3"/>
  <c r="E11" i="1"/>
  <c r="F2" i="2"/>
  <c r="G2" i="2" s="1"/>
  <c r="F3" i="2"/>
  <c r="G3" i="2" s="1"/>
  <c r="F4" i="2"/>
  <c r="G4" i="2" s="1"/>
  <c r="F5" i="2"/>
  <c r="G5" i="2" s="1"/>
  <c r="F6" i="2"/>
  <c r="G6" i="2" s="1"/>
  <c r="F7" i="2"/>
  <c r="G7" i="2" s="1"/>
  <c r="F8" i="2"/>
  <c r="G8" i="2" s="1"/>
  <c r="F9" i="2"/>
  <c r="G9" i="2" s="1"/>
</calcChain>
</file>

<file path=xl/sharedStrings.xml><?xml version="1.0" encoding="utf-8"?>
<sst xmlns="http://schemas.openxmlformats.org/spreadsheetml/2006/main" count="71" uniqueCount="44">
  <si>
    <t>ردیف</t>
  </si>
  <si>
    <t>نام محصول</t>
  </si>
  <si>
    <t>طبقه دیواری مجموعه سه عددی مدل z20</t>
  </si>
  <si>
    <t>روبوش کارگاهی زنانه مدل گیتی</t>
  </si>
  <si>
    <t>روبپوشکارگاهی زنانه مدل زرین</t>
  </si>
  <si>
    <t>روپوش کارگاهی مردانه مدل001</t>
  </si>
  <si>
    <t>روپوش کارگاهی مردانه مدل 002</t>
  </si>
  <si>
    <t>ست روپوش و شلوار زنانه مدل پاس</t>
  </si>
  <si>
    <t xml:space="preserve">کد محصول </t>
  </si>
  <si>
    <t>001</t>
  </si>
  <si>
    <t>003</t>
  </si>
  <si>
    <t>004</t>
  </si>
  <si>
    <t>005</t>
  </si>
  <si>
    <t>006</t>
  </si>
  <si>
    <t>007</t>
  </si>
  <si>
    <t>008</t>
  </si>
  <si>
    <t>002</t>
  </si>
  <si>
    <t>صابری</t>
  </si>
  <si>
    <t>هاشمی</t>
  </si>
  <si>
    <t>قیمت پیش‌بینی شده</t>
  </si>
  <si>
    <t xml:space="preserve"> هنر‌آموز‌ناظر</t>
  </si>
  <si>
    <t>رشته ارائه‌شده</t>
  </si>
  <si>
    <t>معماری‌داخلی</t>
  </si>
  <si>
    <t>طراحی‌دوخت</t>
  </si>
  <si>
    <t>شلف دیواری‌مدل WT</t>
  </si>
  <si>
    <t>شلف دیوار‌‌ی‌مدل L</t>
  </si>
  <si>
    <t>هاشم‌‌پور</t>
  </si>
  <si>
    <t>رشته تولید کننده</t>
  </si>
  <si>
    <t>هزینه مواد اولیه</t>
  </si>
  <si>
    <t>هزینه دستمزد</t>
  </si>
  <si>
    <t>هزینه‌های سربار</t>
  </si>
  <si>
    <t>قیمت تمام شده</t>
  </si>
  <si>
    <t>قیمت‌نهایی</t>
  </si>
  <si>
    <t>کد‌ محصول</t>
  </si>
  <si>
    <t>لیست حق‌الزحمه</t>
  </si>
  <si>
    <t>میزان مالیات</t>
  </si>
  <si>
    <t>نام‌ و نام خانوادگی</t>
  </si>
  <si>
    <t>پرنیا اکبری</t>
  </si>
  <si>
    <t>رومینا صالحی</t>
  </si>
  <si>
    <t>مبینا آرمان پور</t>
  </si>
  <si>
    <t>تهمینه دماوندی</t>
  </si>
  <si>
    <t>ساعت کاری</t>
  </si>
  <si>
    <t xml:space="preserve"> حق‌ از همه ساعتی</t>
  </si>
  <si>
    <t>حق الزحمه پرداختی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</si>
</sst>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-_ ;_ * #,##0.00\-_ ;_ * &quot;-&quot;??_-_ ;_ @_ "/>
    <numFmt numFmtId="165" formatCode="_ * #,##0_-_ ;_ * #,##0\-_ ;_ * &quot;-&quot;??_-_ ;_ @_ "/>
    <numFmt numFmtId="166" formatCode="_ * #,##0_-_ر_ي_ا_ل_ ;_ * #,##0\-_ر_ي_ا_ل_ ;_ * &quot;-&quot;_-_ر_ي_ا_ل_ ;_ @_ "/>
    <numFmt numFmtId="171" formatCode="[$-3000401]0"/>
    <numFmt numFmtId="172" formatCode="_ * #,##0.00_-[$ريال-429]_ ;_ * #,##0.00\-[$ريال-429]_ ;_ * &quot;-&quot;??_-[$ريال-429]_ ;_ @_ "/>
  </numFmts>
  <fonts count="7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B Nazanin"/>
      <charset val="178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quotePrefix="1"/>
    <xf numFmtId="0" fontId="4" fillId="0" borderId="0" xfId="0" applyFont="1"/>
    <xf numFmtId="0" fontId="0" fillId="0" borderId="0" xfId="1" applyNumberFormat="1" applyFont="1"/>
    <xf numFmtId="165" fontId="0" fillId="0" borderId="0" xfId="1" applyNumberFormat="1" applyFont="1"/>
    <xf numFmtId="166" fontId="0" fillId="0" borderId="0" xfId="1" applyNumberFormat="1" applyFont="1"/>
    <xf numFmtId="0" fontId="0" fillId="0" borderId="0" xfId="0" applyAlignment="1">
      <alignment vertical="center"/>
    </xf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6" fillId="0" borderId="1" xfId="0" quotePrefix="1" applyFont="1" applyBorder="1"/>
    <xf numFmtId="165" fontId="6" fillId="0" borderId="1" xfId="1" applyNumberFormat="1" applyFont="1" applyBorder="1"/>
    <xf numFmtId="165" fontId="0" fillId="0" borderId="0" xfId="0" applyNumberFormat="1"/>
    <xf numFmtId="165" fontId="6" fillId="0" borderId="1" xfId="0" applyNumberFormat="1" applyFont="1" applyBorder="1"/>
    <xf numFmtId="165" fontId="6" fillId="0" borderId="5" xfId="0" applyNumberFormat="1" applyFont="1" applyBorder="1"/>
    <xf numFmtId="0" fontId="6" fillId="0" borderId="0" xfId="0" applyFont="1"/>
    <xf numFmtId="0" fontId="0" fillId="2" borderId="1" xfId="0" applyFill="1" applyBorder="1"/>
    <xf numFmtId="9" fontId="0" fillId="2" borderId="1" xfId="2" applyFont="1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171" fontId="0" fillId="0" borderId="1" xfId="0" applyNumberFormat="1" applyBorder="1"/>
    <xf numFmtId="172" fontId="0" fillId="0" borderId="1" xfId="1" applyNumberFormat="1" applyFont="1" applyBorder="1"/>
    <xf numFmtId="172" fontId="0" fillId="0" borderId="1" xfId="0" applyNumberFormat="1" applyBorder="1"/>
  </cellXfs>
  <cellStyles count="3">
    <cellStyle name="Comma" xfId="1" builtinId="3"/>
    <cellStyle name="Normal" xfId="0" builtinId="0"/>
    <cellStyle name="Percent" xfId="2" builtinId="5"/>
  </cellStyles>
  <dxfs count="11">
    <dxf>
      <numFmt numFmtId="165" formatCode="_ * #,##0_-_ ;_ * #,##0\-_ ;_ * &quot;-&quot;??_-_ ;_ @_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 * #,##0_-_ ;_ * #,##0\-_ ;_ * &quot;-&quot;??_-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fill>
        <patternFill patternType="solid">
          <fgColor indexed="64"/>
          <bgColor theme="5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1A0C86-AF9C-4C0B-A77B-A28BA1408594}" name="Table2" displayName="Table2" ref="A1:G9" totalsRowShown="0" headerRowDxfId="10" headerRowBorderDxfId="9" tableBorderDxfId="8" totalsRowBorderDxfId="7">
  <autoFilter ref="A1:G9" xr:uid="{1B1A0C86-AF9C-4C0B-A77B-A28BA1408594}"/>
  <tableColumns count="7">
    <tableColumn id="1" xr3:uid="{DB1B7157-96A1-49EF-A1D7-5B01904C917C}" name="رشته تولید کننده" dataDxfId="6"/>
    <tableColumn id="2" xr3:uid="{7DE0502A-BEA2-4F90-9E56-FADBAC91099B}" name="کد‌ محصول" dataDxfId="5"/>
    <tableColumn id="3" xr3:uid="{A608651E-ECB6-470C-8FF5-C4C11E96F473}" name="هزینه مواد اولیه" dataDxfId="4"/>
    <tableColumn id="4" xr3:uid="{2E851677-C4B9-40AC-8A66-99CF92CC3A0E}" name="هزینه دستمزد" dataDxfId="3"/>
    <tableColumn id="5" xr3:uid="{2A225CA4-86C3-435B-9852-6B0F9FF26734}" name="هزینه‌های سربار" dataDxfId="2"/>
    <tableColumn id="6" xr3:uid="{64D001B6-94A0-42BF-90E1-98BE0ACA8A80}" name="قیمت تمام شده" dataDxfId="1">
      <calculatedColumnFormula>SUM(Table2[[#This Row],[هزینه مواد اولیه]:[هزینه‌های سربار]])</calculatedColumnFormula>
    </tableColumn>
    <tableColumn id="7" xr3:uid="{E8158393-DEEF-441B-A090-4DA09B50A4D5}" name="قیمت‌نهایی" dataDxfId="0">
      <calculatedColumnFormula>Table2[[#This Row],[قیمت تمام شده]]+(Table2[[#This Row],[قیمت تمام شده]]*0.1)</calculatedColumnFormula>
    </tableColumn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rightToLeft="1" zoomScaleNormal="100" workbookViewId="0">
      <selection activeCell="F7" sqref="F7"/>
    </sheetView>
  </sheetViews>
  <sheetFormatPr defaultRowHeight="14.4"/>
  <cols>
    <col min="1" max="1" width="6.88671875" customWidth="1"/>
    <col min="2" max="2" width="27.88671875" customWidth="1"/>
    <col min="3" max="3" width="8.109375" bestFit="1" customWidth="1"/>
    <col min="4" max="4" width="9.44140625" customWidth="1"/>
    <col min="5" max="5" width="12.77734375" customWidth="1"/>
    <col min="6" max="6" width="11.21875" customWidth="1"/>
    <col min="11" max="11" width="12.44140625" bestFit="1" customWidth="1"/>
  </cols>
  <sheetData>
    <row r="1" spans="1:11" ht="21">
      <c r="A1" s="1" t="s">
        <v>0</v>
      </c>
      <c r="B1" s="2" t="s">
        <v>1</v>
      </c>
      <c r="C1" s="4" t="s">
        <v>8</v>
      </c>
      <c r="D1" s="4" t="s">
        <v>20</v>
      </c>
      <c r="E1" s="4" t="s">
        <v>19</v>
      </c>
      <c r="F1" s="4" t="s">
        <v>21</v>
      </c>
      <c r="I1" s="8"/>
      <c r="K1" s="7"/>
    </row>
    <row r="2" spans="1:11">
      <c r="A2">
        <v>1</v>
      </c>
      <c r="B2" t="s">
        <v>25</v>
      </c>
      <c r="C2" s="3" t="s">
        <v>9</v>
      </c>
      <c r="D2" s="4" t="s">
        <v>17</v>
      </c>
      <c r="E2" s="6">
        <v>130000</v>
      </c>
      <c r="F2" t="s">
        <v>22</v>
      </c>
    </row>
    <row r="3" spans="1:11">
      <c r="A3">
        <v>2</v>
      </c>
      <c r="B3" t="s">
        <v>24</v>
      </c>
      <c r="C3" s="3" t="s">
        <v>16</v>
      </c>
      <c r="D3" s="4" t="s">
        <v>17</v>
      </c>
      <c r="E3" s="6">
        <v>150000</v>
      </c>
      <c r="F3" t="s">
        <v>22</v>
      </c>
    </row>
    <row r="4" spans="1:11">
      <c r="A4">
        <v>3</v>
      </c>
      <c r="B4" t="s">
        <v>2</v>
      </c>
      <c r="C4" s="3" t="s">
        <v>10</v>
      </c>
      <c r="D4" s="4" t="s">
        <v>17</v>
      </c>
      <c r="E4" s="6">
        <v>170000</v>
      </c>
      <c r="F4" t="s">
        <v>22</v>
      </c>
    </row>
    <row r="5" spans="1:11">
      <c r="A5">
        <v>4</v>
      </c>
      <c r="B5" t="s">
        <v>3</v>
      </c>
      <c r="C5" s="3" t="s">
        <v>11</v>
      </c>
      <c r="D5" s="4" t="s">
        <v>18</v>
      </c>
      <c r="E5" s="6">
        <v>350000</v>
      </c>
      <c r="F5" t="s">
        <v>23</v>
      </c>
    </row>
    <row r="6" spans="1:11">
      <c r="A6">
        <v>5</v>
      </c>
      <c r="B6" t="s">
        <v>4</v>
      </c>
      <c r="C6" s="3" t="s">
        <v>12</v>
      </c>
      <c r="D6" s="4" t="s">
        <v>18</v>
      </c>
      <c r="E6" s="6">
        <v>290000</v>
      </c>
      <c r="F6" t="s">
        <v>23</v>
      </c>
    </row>
    <row r="7" spans="1:11">
      <c r="A7">
        <v>6</v>
      </c>
      <c r="B7" t="s">
        <v>5</v>
      </c>
      <c r="C7" s="3" t="s">
        <v>13</v>
      </c>
      <c r="D7" s="4" t="s">
        <v>18</v>
      </c>
      <c r="E7" s="6">
        <v>360000</v>
      </c>
      <c r="F7" t="s">
        <v>23</v>
      </c>
    </row>
    <row r="8" spans="1:11">
      <c r="A8">
        <v>7</v>
      </c>
      <c r="B8" t="s">
        <v>6</v>
      </c>
      <c r="C8" s="3" t="s">
        <v>14</v>
      </c>
      <c r="D8" s="4" t="s">
        <v>18</v>
      </c>
      <c r="E8" s="6">
        <v>280000</v>
      </c>
      <c r="F8" t="s">
        <v>23</v>
      </c>
    </row>
    <row r="9" spans="1:11">
      <c r="A9">
        <v>8</v>
      </c>
      <c r="B9" t="s">
        <v>7</v>
      </c>
      <c r="C9" s="3" t="s">
        <v>15</v>
      </c>
      <c r="D9" s="4" t="s">
        <v>26</v>
      </c>
      <c r="E9" s="6">
        <v>385000</v>
      </c>
      <c r="F9" t="s">
        <v>23</v>
      </c>
    </row>
    <row r="10" spans="1:11">
      <c r="D10" s="5"/>
    </row>
    <row r="11" spans="1:11">
      <c r="E11" s="6">
        <f>'قیمت تمام شده'!E2+'قیمت تمام شده'!D2</f>
        <v>200000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B7E53-BDAD-40BD-BF67-95387BA27897}">
  <dimension ref="A1:I16"/>
  <sheetViews>
    <sheetView rightToLeft="1" topLeftCell="B1" zoomScaleNormal="100" workbookViewId="0">
      <selection activeCell="H2" sqref="H2"/>
    </sheetView>
  </sheetViews>
  <sheetFormatPr defaultRowHeight="14.4"/>
  <cols>
    <col min="1" max="1" width="21.88671875" customWidth="1"/>
    <col min="2" max="2" width="17" customWidth="1"/>
    <col min="3" max="3" width="19.33203125" customWidth="1"/>
    <col min="4" max="4" width="17.109375" customWidth="1"/>
    <col min="5" max="5" width="20.109375" customWidth="1"/>
    <col min="6" max="6" width="25.6640625" customWidth="1"/>
    <col min="7" max="7" width="22.44140625" customWidth="1"/>
  </cols>
  <sheetData>
    <row r="1" spans="1:9" ht="25.2" customHeight="1">
      <c r="A1" s="11" t="s">
        <v>27</v>
      </c>
      <c r="B1" s="10" t="s">
        <v>33</v>
      </c>
      <c r="C1" s="10" t="s">
        <v>28</v>
      </c>
      <c r="D1" s="10" t="s">
        <v>29</v>
      </c>
      <c r="E1" s="10" t="s">
        <v>30</v>
      </c>
      <c r="F1" s="10" t="s">
        <v>31</v>
      </c>
      <c r="G1" s="12" t="s">
        <v>32</v>
      </c>
    </row>
    <row r="2" spans="1:9" ht="20.399999999999999" customHeight="1">
      <c r="A2" s="18" t="s">
        <v>22</v>
      </c>
      <c r="B2" s="13" t="s">
        <v>9</v>
      </c>
      <c r="C2" s="14">
        <v>500000</v>
      </c>
      <c r="D2" s="14">
        <v>100000</v>
      </c>
      <c r="E2" s="14">
        <v>100000</v>
      </c>
      <c r="F2" s="16">
        <f>SUM(Table2[[#This Row],[هزینه مواد اولیه]:[هزینه‌های سربار]])</f>
        <v>700000</v>
      </c>
      <c r="G2" s="17">
        <f>Table2[[#This Row],[قیمت تمام شده]]+(Table2[[#This Row],[قیمت تمام شده]]*0.1)</f>
        <v>770000</v>
      </c>
    </row>
    <row r="3" spans="1:9" ht="23.4" customHeight="1">
      <c r="A3" s="18" t="s">
        <v>22</v>
      </c>
      <c r="B3" s="13" t="s">
        <v>16</v>
      </c>
      <c r="C3" s="14">
        <v>400000</v>
      </c>
      <c r="D3" s="14">
        <v>100000</v>
      </c>
      <c r="E3" s="14">
        <v>200000</v>
      </c>
      <c r="F3" s="16">
        <f>SUM(Table2[[#This Row],[هزینه مواد اولیه]:[هزینه‌های سربار]])</f>
        <v>700000</v>
      </c>
      <c r="G3" s="17">
        <f>Table2[[#This Row],[قیمت تمام شده]]+(Table2[[#This Row],[قیمت تمام شده]]*0.1)</f>
        <v>770000</v>
      </c>
    </row>
    <row r="4" spans="1:9" ht="21.6" customHeight="1">
      <c r="A4" s="18" t="s">
        <v>22</v>
      </c>
      <c r="B4" s="13" t="s">
        <v>10</v>
      </c>
      <c r="C4" s="14">
        <v>450000</v>
      </c>
      <c r="D4" s="14">
        <v>100000</v>
      </c>
      <c r="E4" s="14">
        <v>300000</v>
      </c>
      <c r="F4" s="16">
        <f>SUM(Table2[[#This Row],[هزینه مواد اولیه]:[هزینه‌های سربار]])</f>
        <v>850000</v>
      </c>
      <c r="G4" s="17">
        <f>Table2[[#This Row],[قیمت تمام شده]]+(Table2[[#This Row],[قیمت تمام شده]]*0.1)</f>
        <v>935000</v>
      </c>
    </row>
    <row r="5" spans="1:9" ht="18" customHeight="1">
      <c r="A5" s="18" t="s">
        <v>23</v>
      </c>
      <c r="B5" s="13" t="s">
        <v>11</v>
      </c>
      <c r="C5" s="14">
        <v>600000</v>
      </c>
      <c r="D5" s="14">
        <v>100000</v>
      </c>
      <c r="E5" s="14">
        <v>400000</v>
      </c>
      <c r="F5" s="16">
        <f>SUM(Table2[[#This Row],[هزینه مواد اولیه]:[هزینه‌های سربار]])</f>
        <v>1100000</v>
      </c>
      <c r="G5" s="17">
        <f>Table2[[#This Row],[قیمت تمام شده]]+(Table2[[#This Row],[قیمت تمام شده]]*0.1)</f>
        <v>1210000</v>
      </c>
      <c r="I5" s="15"/>
    </row>
    <row r="6" spans="1:9" ht="21.6" customHeight="1">
      <c r="A6" s="18" t="s">
        <v>23</v>
      </c>
      <c r="B6" s="13" t="s">
        <v>12</v>
      </c>
      <c r="C6" s="14">
        <v>600000</v>
      </c>
      <c r="D6" s="14">
        <v>100000</v>
      </c>
      <c r="E6" s="14">
        <v>500000</v>
      </c>
      <c r="F6" s="16">
        <f>SUM(Table2[[#This Row],[هزینه مواد اولیه]:[هزینه‌های سربار]])</f>
        <v>1200000</v>
      </c>
      <c r="G6" s="17">
        <f>Table2[[#This Row],[قیمت تمام شده]]+(Table2[[#This Row],[قیمت تمام شده]]*0.1)</f>
        <v>1320000</v>
      </c>
    </row>
    <row r="7" spans="1:9" ht="22.8" customHeight="1">
      <c r="A7" s="18" t="s">
        <v>23</v>
      </c>
      <c r="B7" s="13" t="s">
        <v>13</v>
      </c>
      <c r="C7" s="14">
        <v>700000</v>
      </c>
      <c r="D7" s="14">
        <v>100000</v>
      </c>
      <c r="E7" s="14">
        <v>600000</v>
      </c>
      <c r="F7" s="16">
        <f>SUM(Table2[[#This Row],[هزینه مواد اولیه]:[هزینه‌های سربار]])</f>
        <v>1400000</v>
      </c>
      <c r="G7" s="17">
        <f>Table2[[#This Row],[قیمت تمام شده]]+(Table2[[#This Row],[قیمت تمام شده]]*0.1)</f>
        <v>1540000</v>
      </c>
    </row>
    <row r="8" spans="1:9" ht="23.4" customHeight="1">
      <c r="A8" s="18" t="s">
        <v>23</v>
      </c>
      <c r="B8" s="13" t="s">
        <v>14</v>
      </c>
      <c r="C8" s="14">
        <v>700000</v>
      </c>
      <c r="D8" s="14">
        <v>100000</v>
      </c>
      <c r="E8" s="14">
        <v>700000</v>
      </c>
      <c r="F8" s="16">
        <f>SUM(Table2[[#This Row],[هزینه مواد اولیه]:[هزینه‌های سربار]])</f>
        <v>1500000</v>
      </c>
      <c r="G8" s="17">
        <f>Table2[[#This Row],[قیمت تمام شده]]+(Table2[[#This Row],[قیمت تمام شده]]*0.1)</f>
        <v>1650000</v>
      </c>
    </row>
    <row r="9" spans="1:9" ht="31.8" customHeight="1">
      <c r="A9" s="18" t="s">
        <v>23</v>
      </c>
      <c r="B9" s="13" t="s">
        <v>15</v>
      </c>
      <c r="C9" s="14">
        <v>550000</v>
      </c>
      <c r="D9" s="14">
        <v>100000</v>
      </c>
      <c r="E9" s="14">
        <v>800000</v>
      </c>
      <c r="F9" s="16">
        <f>SUM(Table2[[#This Row],[هزینه مواد اولیه]:[هزینه‌های سربار]])</f>
        <v>1450000</v>
      </c>
      <c r="G9" s="17">
        <f>Table2[[#This Row],[قیمت تمام شده]]+(Table2[[#This Row],[قیمت تمام شده]]*0.1)</f>
        <v>1595000</v>
      </c>
    </row>
    <row r="10" spans="1:9" ht="25.8" customHeight="1"/>
    <row r="16" spans="1:9">
      <c r="E16" s="1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36B4B-967E-4DEC-8298-68B95650CF70}">
  <dimension ref="A1:D7"/>
  <sheetViews>
    <sheetView rightToLeft="1" tabSelected="1" workbookViewId="0">
      <selection activeCell="D7" sqref="D7"/>
    </sheetView>
  </sheetViews>
  <sheetFormatPr defaultRowHeight="14.4"/>
  <cols>
    <col min="1" max="1" width="11.6640625" customWidth="1"/>
    <col min="2" max="2" width="9.21875" customWidth="1"/>
    <col min="3" max="3" width="19.6640625" customWidth="1"/>
    <col min="4" max="4" width="20.5546875" customWidth="1"/>
  </cols>
  <sheetData>
    <row r="1" spans="1:4">
      <c r="A1" s="19" t="s">
        <v>35</v>
      </c>
      <c r="B1" s="20">
        <v>0.1</v>
      </c>
      <c r="C1" s="9"/>
      <c r="D1" s="9"/>
    </row>
    <row r="2" spans="1:4">
      <c r="A2" s="21" t="s">
        <v>34</v>
      </c>
      <c r="B2" s="21"/>
      <c r="C2" s="21"/>
      <c r="D2" s="21"/>
    </row>
    <row r="3" spans="1:4">
      <c r="A3" s="22" t="s">
        <v>36</v>
      </c>
      <c r="B3" s="22" t="s">
        <v>41</v>
      </c>
      <c r="C3" s="22" t="s">
        <v>42</v>
      </c>
      <c r="D3" s="22" t="s">
        <v>43</v>
      </c>
    </row>
    <row r="4" spans="1:4">
      <c r="A4" s="9" t="s">
        <v>37</v>
      </c>
      <c r="B4" s="23">
        <v>12</v>
      </c>
      <c r="C4" s="24">
        <v>100000000</v>
      </c>
      <c r="D4" s="25">
        <f>(C4*B4)-(C4*B4)*$B$1</f>
        <v>1080000000</v>
      </c>
    </row>
    <row r="5" spans="1:4">
      <c r="A5" s="9" t="s">
        <v>38</v>
      </c>
      <c r="B5" s="23">
        <v>23</v>
      </c>
      <c r="C5" s="24">
        <v>160000000</v>
      </c>
      <c r="D5" s="25">
        <f>(C5*B5)-(C5*B5)*$B$1</f>
        <v>3312000000</v>
      </c>
    </row>
    <row r="6" spans="1:4">
      <c r="A6" s="9" t="s">
        <v>39</v>
      </c>
      <c r="B6" s="23">
        <v>45</v>
      </c>
      <c r="C6" s="24">
        <v>120000000</v>
      </c>
      <c r="D6" s="25">
        <f>(C6*B6)-(C6*B6)*$B$1</f>
        <v>4860000000</v>
      </c>
    </row>
    <row r="7" spans="1:4">
      <c r="A7" s="9" t="s">
        <v>40</v>
      </c>
      <c r="B7" s="23">
        <v>16</v>
      </c>
      <c r="C7" s="24">
        <v>170000000</v>
      </c>
      <c r="D7" s="25">
        <f>(C7*B7)-(C7*B7)*$B$1</f>
        <v>2448000000</v>
      </c>
    </row>
  </sheetData>
  <mergeCells count="1">
    <mergeCell ref="A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قیمت تمام شده</vt:lpstr>
      <vt:lpstr>لیست حق‌الزحمه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</dc:creator>
  <cp:lastModifiedBy>mehrdad</cp:lastModifiedBy>
  <dcterms:created xsi:type="dcterms:W3CDTF">2015-06-05T18:17:20Z</dcterms:created>
  <dcterms:modified xsi:type="dcterms:W3CDTF">2026-10-28T07:25:56Z</dcterms:modified>
</cp:coreProperties>
</file>